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 List" sheetId="1" state="visible" r:id="rId3"/>
    <sheet name="Summary" sheetId="2" state="visible" r:id="rId4"/>
  </sheets>
  <definedNames>
    <definedName function="false" hidden="true" localSheetId="0" name="_xlnm._FilterDatabase" vbProcedure="false">'Document List'!$A$1:$D$41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<sst xmlns="http://schemas.openxmlformats.org/spreadsheetml/2006/main" count="130" uniqueCount="56">
  <si>
    <t xml:space="preserve">S.No.</t>
  </si>
  <si>
    <t xml:space="preserve">Document Name</t>
  </si>
  <si>
    <t xml:space="preserve">Category</t>
  </si>
  <si>
    <t xml:space="preserve">Ester Type</t>
  </si>
  <si>
    <t xml:space="preserve">IEC_60076-14.pdf</t>
  </si>
  <si>
    <t xml:space="preserve">Standard / Specification</t>
  </si>
  <si>
    <t xml:space="preserve">General</t>
  </si>
  <si>
    <t xml:space="preserve">IEC_62770_2024.pdf</t>
  </si>
  <si>
    <t xml:space="preserve">Natural Ester</t>
  </si>
  <si>
    <t xml:space="preserve">IEC_62975ed1_0b.pdf</t>
  </si>
  <si>
    <t xml:space="preserve">Synthetic Ester</t>
  </si>
  <si>
    <t xml:space="preserve">IS_166592017.pdf</t>
  </si>
  <si>
    <t xml:space="preserve">Sy__Ester_IS16081_2013_IDENTICAL_TO_IEC_61099_1.pdf</t>
  </si>
  <si>
    <t xml:space="preserve">1180_3.pdf</t>
  </si>
  <si>
    <t xml:space="preserve">ML13823_English_K_2.pdf</t>
  </si>
  <si>
    <t xml:space="preserve">FM_Approval_bioTRANSOL.pdf</t>
  </si>
  <si>
    <t xml:space="preserve">Approval / Certification</t>
  </si>
  <si>
    <t xml:space="preserve">FM_Global_Approval_Transol_Synth_100.pdf</t>
  </si>
  <si>
    <t xml:space="preserve">UL_Approval_Transol_Synth_100_Synthetic_Ester_fluid.pdf</t>
  </si>
  <si>
    <t xml:space="preserve">bioTRANSOL_UL_Certificate_of_Compliance__Copy.pdf</t>
  </si>
  <si>
    <t xml:space="preserve">ERDA_Test_Report_Transol_Synth_100.pdf</t>
  </si>
  <si>
    <t xml:space="preserve">Test Report</t>
  </si>
  <si>
    <t xml:space="preserve">Crystallization_report_ERDA_RP2425005920.pdf</t>
  </si>
  <si>
    <t xml:space="preserve">Net_Calorific_Value_Report_Transol_Synth.pdf</t>
  </si>
  <si>
    <t xml:space="preserve">Type_Test_Report_1_compressed.pdf</t>
  </si>
  <si>
    <t xml:space="preserve">bioTRANSOL_CPRI_Type_Test_Report.pdf</t>
  </si>
  <si>
    <t xml:space="preserve">bio_TRANSOL_HF_ERDA_Type_Test_Report.pdf</t>
  </si>
  <si>
    <t xml:space="preserve">I2312110091TestReportEN_45545.pdf</t>
  </si>
  <si>
    <t xml:space="preserve">OECD_201_Freshwater_Algae__Cynobateria_Growth_Inhibition_Test.pdf</t>
  </si>
  <si>
    <t xml:space="preserve">Environmental / Biodegradability Report</t>
  </si>
  <si>
    <t xml:space="preserve">OECD_202_Daphnia_sp__Immobilisation_Test_Transol_Synth_100.pdf</t>
  </si>
  <si>
    <t xml:space="preserve">OECD_203_Aquatic_Toxicity_Test_Transol_Synth_100.pdf</t>
  </si>
  <si>
    <t xml:space="preserve">OECD_301_Biodegradability_Report_Transol_Synth_100.pdf</t>
  </si>
  <si>
    <t xml:space="preserve">Savita_ICDL_Paper_on_FTIR__XPS_evidence_on_interaction_between_Natural_Ester__Cellulose_Paper.pdf</t>
  </si>
  <si>
    <t xml:space="preserve">Technical Paper</t>
  </si>
  <si>
    <t xml:space="preserve">Savita_Paper_on_Insulation_Paper_life_enhancement_with_Natural_Ester_fluid.pdf</t>
  </si>
  <si>
    <t xml:space="preserve">Savita_Paper_on_Insulation_Paper_life_enhancement_with_Natural_Ester_fluid_bioTRANSOL_GRIDTECH.pdf</t>
  </si>
  <si>
    <t xml:space="preserve">Savita__CG_IEEE_Paper_Thermal_Performance.pdf</t>
  </si>
  <si>
    <t xml:space="preserve">Savita__CG_IEEE_Paper_on_Effects_of_contaminant.pdf</t>
  </si>
  <si>
    <t xml:space="preserve">Savita__CG_IEEE_Paper_on_FRA_for_permittivity.pdf</t>
  </si>
  <si>
    <t xml:space="preserve">Savita__CG_IEEE_Paper_on_Positive__Negative_Lighning_Impulse_stress_on_Natural_Ester.pdf</t>
  </si>
  <si>
    <t xml:space="preserve">Savita__CG_IEEE_Paper_on_continuous_Thermal_overloading_capability_of_Ester_oil.pdf</t>
  </si>
  <si>
    <t xml:space="preserve">Savita__CG_IEEE_Paper_on_cooling_conditions_for_Natural_Ester.pdf</t>
  </si>
  <si>
    <t xml:space="preserve">Savita__CG_Paper_on_Lightning_Impulse_polarity_effect_in_Ester_oils.pdf</t>
  </si>
  <si>
    <t xml:space="preserve">Savita__CG_Paper_on_Natural_Ester_compatibility_study_with_Transformer_components.pdf</t>
  </si>
  <si>
    <t xml:space="preserve">Savita__CG_Paper_on_prediction_of_oil__temperature_distribution_in_Ester_filled_Transformer.pdf</t>
  </si>
  <si>
    <t xml:space="preserve">Savita__CG_paper_on_Effect_on_Dielectric_strength_of_mineral_oil_in_mixing_with_Natural_Ester.pdf</t>
  </si>
  <si>
    <t xml:space="preserve">Savita_Presentation_on_Natural_Ester_fluid__Super_Shakti.pdf</t>
  </si>
  <si>
    <t xml:space="preserve">Presentation / General Guide</t>
  </si>
  <si>
    <t xml:space="preserve">GENERALCONSIDERATION_FOR_RETROFILLING_WITH_BioTRANSOL.pdf</t>
  </si>
  <si>
    <t xml:space="preserve">Transformer_Design_Aspect_1.pdf</t>
  </si>
  <si>
    <t xml:space="preserve">Q_A_ESTER_OIL.docx</t>
  </si>
  <si>
    <t xml:space="preserve">Reference / Comparison</t>
  </si>
  <si>
    <t xml:space="preserve">Comparison-_Mineral_Oil__Ester_Oil.docx</t>
  </si>
  <si>
    <t xml:space="preserve">Count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</si>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</sst>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5"/>
    <col collapsed="false" customWidth="true" hidden="false" outlineLevel="0" max="3" min="3" style="0" width="38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3" t="s">
        <v>4</v>
      </c>
      <c r="C2" s="4" t="s">
        <v>5</v>
      </c>
      <c r="D2" s="5" t="s">
        <v>6</v>
      </c>
    </row>
    <row r="3" customFormat="false" ht="15" hidden="false" customHeight="false" outlineLevel="0" collapsed="false">
      <c r="A3" s="2" t="n">
        <v>2</v>
      </c>
      <c r="B3" s="3" t="s">
        <v>7</v>
      </c>
      <c r="C3" s="4" t="s">
        <v>5</v>
      </c>
      <c r="D3" s="6" t="s">
        <v>8</v>
      </c>
    </row>
    <row r="4" customFormat="false" ht="15" hidden="false" customHeight="false" outlineLevel="0" collapsed="false">
      <c r="A4" s="2" t="n">
        <v>3</v>
      </c>
      <c r="B4" s="3" t="s">
        <v>9</v>
      </c>
      <c r="C4" s="4" t="s">
        <v>5</v>
      </c>
      <c r="D4" s="7" t="s">
        <v>10</v>
      </c>
    </row>
    <row r="5" customFormat="false" ht="15" hidden="false" customHeight="false" outlineLevel="0" collapsed="false">
      <c r="A5" s="2" t="n">
        <v>4</v>
      </c>
      <c r="B5" s="3" t="s">
        <v>11</v>
      </c>
      <c r="C5" s="4" t="s">
        <v>5</v>
      </c>
      <c r="D5" s="6" t="s">
        <v>8</v>
      </c>
    </row>
    <row r="6" customFormat="false" ht="15" hidden="false" customHeight="false" outlineLevel="0" collapsed="false">
      <c r="A6" s="2" t="n">
        <v>5</v>
      </c>
      <c r="B6" s="3" t="s">
        <v>12</v>
      </c>
      <c r="C6" s="4" t="s">
        <v>5</v>
      </c>
      <c r="D6" s="7" t="s">
        <v>10</v>
      </c>
    </row>
    <row r="7" customFormat="false" ht="15" hidden="false" customHeight="false" outlineLevel="0" collapsed="false">
      <c r="A7" s="2" t="n">
        <v>6</v>
      </c>
      <c r="B7" s="3" t="s">
        <v>13</v>
      </c>
      <c r="C7" s="4" t="s">
        <v>5</v>
      </c>
      <c r="D7" s="5" t="s">
        <v>6</v>
      </c>
    </row>
    <row r="8" customFormat="false" ht="15" hidden="false" customHeight="false" outlineLevel="0" collapsed="false">
      <c r="A8" s="2" t="n">
        <v>7</v>
      </c>
      <c r="B8" s="3" t="s">
        <v>14</v>
      </c>
      <c r="C8" s="4" t="s">
        <v>5</v>
      </c>
      <c r="D8" s="5" t="s">
        <v>6</v>
      </c>
    </row>
    <row r="9" customFormat="false" ht="15" hidden="false" customHeight="false" outlineLevel="0" collapsed="false">
      <c r="A9" s="2" t="n">
        <v>8</v>
      </c>
      <c r="B9" s="3" t="s">
        <v>15</v>
      </c>
      <c r="C9" s="4" t="s">
        <v>16</v>
      </c>
      <c r="D9" s="6" t="s">
        <v>8</v>
      </c>
    </row>
    <row r="10" customFormat="false" ht="15" hidden="false" customHeight="false" outlineLevel="0" collapsed="false">
      <c r="A10" s="2" t="n">
        <v>9</v>
      </c>
      <c r="B10" s="3" t="s">
        <v>17</v>
      </c>
      <c r="C10" s="4" t="s">
        <v>16</v>
      </c>
      <c r="D10" s="7" t="s">
        <v>10</v>
      </c>
    </row>
    <row r="11" customFormat="false" ht="15" hidden="false" customHeight="false" outlineLevel="0" collapsed="false">
      <c r="A11" s="2" t="n">
        <v>10</v>
      </c>
      <c r="B11" s="3" t="s">
        <v>18</v>
      </c>
      <c r="C11" s="4" t="s">
        <v>16</v>
      </c>
      <c r="D11" s="7" t="s">
        <v>10</v>
      </c>
    </row>
    <row r="12" customFormat="false" ht="15" hidden="false" customHeight="false" outlineLevel="0" collapsed="false">
      <c r="A12" s="2" t="n">
        <v>11</v>
      </c>
      <c r="B12" s="3" t="s">
        <v>19</v>
      </c>
      <c r="C12" s="4" t="s">
        <v>16</v>
      </c>
      <c r="D12" s="6" t="s">
        <v>8</v>
      </c>
    </row>
    <row r="13" customFormat="false" ht="15" hidden="false" customHeight="false" outlineLevel="0" collapsed="false">
      <c r="A13" s="2" t="n">
        <v>12</v>
      </c>
      <c r="B13" s="3" t="s">
        <v>20</v>
      </c>
      <c r="C13" s="4" t="s">
        <v>21</v>
      </c>
      <c r="D13" s="7" t="s">
        <v>10</v>
      </c>
    </row>
    <row r="14" customFormat="false" ht="15" hidden="false" customHeight="false" outlineLevel="0" collapsed="false">
      <c r="A14" s="2" t="n">
        <v>13</v>
      </c>
      <c r="B14" s="3" t="s">
        <v>22</v>
      </c>
      <c r="C14" s="4" t="s">
        <v>21</v>
      </c>
      <c r="D14" s="7" t="s">
        <v>10</v>
      </c>
    </row>
    <row r="15" customFormat="false" ht="15" hidden="false" customHeight="false" outlineLevel="0" collapsed="false">
      <c r="A15" s="2" t="n">
        <v>14</v>
      </c>
      <c r="B15" s="3" t="s">
        <v>23</v>
      </c>
      <c r="C15" s="4" t="s">
        <v>21</v>
      </c>
      <c r="D15" s="7" t="s">
        <v>10</v>
      </c>
    </row>
    <row r="16" customFormat="false" ht="15" hidden="false" customHeight="false" outlineLevel="0" collapsed="false">
      <c r="A16" s="2" t="n">
        <v>15</v>
      </c>
      <c r="B16" s="3" t="s">
        <v>24</v>
      </c>
      <c r="C16" s="4" t="s">
        <v>21</v>
      </c>
      <c r="D16" s="5" t="s">
        <v>6</v>
      </c>
    </row>
    <row r="17" customFormat="false" ht="15" hidden="false" customHeight="false" outlineLevel="0" collapsed="false">
      <c r="A17" s="2" t="n">
        <v>16</v>
      </c>
      <c r="B17" s="3" t="s">
        <v>25</v>
      </c>
      <c r="C17" s="4" t="s">
        <v>21</v>
      </c>
      <c r="D17" s="6" t="s">
        <v>8</v>
      </c>
    </row>
    <row r="18" customFormat="false" ht="15" hidden="false" customHeight="false" outlineLevel="0" collapsed="false">
      <c r="A18" s="2" t="n">
        <v>17</v>
      </c>
      <c r="B18" s="3" t="s">
        <v>26</v>
      </c>
      <c r="C18" s="4" t="s">
        <v>21</v>
      </c>
      <c r="D18" s="6" t="s">
        <v>8</v>
      </c>
    </row>
    <row r="19" customFormat="false" ht="15" hidden="false" customHeight="false" outlineLevel="0" collapsed="false">
      <c r="A19" s="2" t="n">
        <v>18</v>
      </c>
      <c r="B19" s="3" t="s">
        <v>27</v>
      </c>
      <c r="C19" s="4" t="s">
        <v>21</v>
      </c>
      <c r="D19" s="5" t="s">
        <v>6</v>
      </c>
    </row>
    <row r="20" customFormat="false" ht="15" hidden="false" customHeight="false" outlineLevel="0" collapsed="false">
      <c r="A20" s="2" t="n">
        <v>19</v>
      </c>
      <c r="B20" s="3" t="s">
        <v>28</v>
      </c>
      <c r="C20" s="4" t="s">
        <v>29</v>
      </c>
      <c r="D20" s="7" t="s">
        <v>10</v>
      </c>
    </row>
    <row r="21" customFormat="false" ht="15" hidden="false" customHeight="false" outlineLevel="0" collapsed="false">
      <c r="A21" s="2" t="n">
        <v>20</v>
      </c>
      <c r="B21" s="3" t="s">
        <v>30</v>
      </c>
      <c r="C21" s="4" t="s">
        <v>29</v>
      </c>
      <c r="D21" s="7" t="s">
        <v>10</v>
      </c>
    </row>
    <row r="22" customFormat="false" ht="15" hidden="false" customHeight="false" outlineLevel="0" collapsed="false">
      <c r="A22" s="2" t="n">
        <v>21</v>
      </c>
      <c r="B22" s="3" t="s">
        <v>31</v>
      </c>
      <c r="C22" s="4" t="s">
        <v>29</v>
      </c>
      <c r="D22" s="7" t="s">
        <v>10</v>
      </c>
    </row>
    <row r="23" customFormat="false" ht="15" hidden="false" customHeight="false" outlineLevel="0" collapsed="false">
      <c r="A23" s="2" t="n">
        <v>22</v>
      </c>
      <c r="B23" s="3" t="s">
        <v>32</v>
      </c>
      <c r="C23" s="4" t="s">
        <v>29</v>
      </c>
      <c r="D23" s="7" t="s">
        <v>10</v>
      </c>
    </row>
    <row r="24" customFormat="false" ht="23.85" hidden="false" customHeight="false" outlineLevel="0" collapsed="false">
      <c r="A24" s="2" t="n">
        <v>23</v>
      </c>
      <c r="B24" s="3" t="s">
        <v>33</v>
      </c>
      <c r="C24" s="4" t="s">
        <v>34</v>
      </c>
      <c r="D24" s="6" t="s">
        <v>8</v>
      </c>
    </row>
    <row r="25" customFormat="false" ht="15" hidden="false" customHeight="false" outlineLevel="0" collapsed="false">
      <c r="A25" s="2" t="n">
        <v>24</v>
      </c>
      <c r="B25" s="3" t="s">
        <v>35</v>
      </c>
      <c r="C25" s="4" t="s">
        <v>34</v>
      </c>
      <c r="D25" s="6" t="s">
        <v>8</v>
      </c>
    </row>
    <row r="26" customFormat="false" ht="23.85" hidden="false" customHeight="false" outlineLevel="0" collapsed="false">
      <c r="A26" s="2" t="n">
        <v>25</v>
      </c>
      <c r="B26" s="3" t="s">
        <v>36</v>
      </c>
      <c r="C26" s="4" t="s">
        <v>34</v>
      </c>
      <c r="D26" s="6" t="s">
        <v>8</v>
      </c>
    </row>
    <row r="27" customFormat="false" ht="15" hidden="false" customHeight="false" outlineLevel="0" collapsed="false">
      <c r="A27" s="2" t="n">
        <v>26</v>
      </c>
      <c r="B27" s="3" t="s">
        <v>37</v>
      </c>
      <c r="C27" s="4" t="s">
        <v>34</v>
      </c>
      <c r="D27" s="6" t="s">
        <v>8</v>
      </c>
    </row>
    <row r="28" customFormat="false" ht="15" hidden="false" customHeight="false" outlineLevel="0" collapsed="false">
      <c r="A28" s="2" t="n">
        <v>27</v>
      </c>
      <c r="B28" s="3" t="s">
        <v>38</v>
      </c>
      <c r="C28" s="4" t="s">
        <v>34</v>
      </c>
      <c r="D28" s="6" t="s">
        <v>8</v>
      </c>
    </row>
    <row r="29" customFormat="false" ht="15" hidden="false" customHeight="false" outlineLevel="0" collapsed="false">
      <c r="A29" s="2" t="n">
        <v>28</v>
      </c>
      <c r="B29" s="3" t="s">
        <v>39</v>
      </c>
      <c r="C29" s="4" t="s">
        <v>34</v>
      </c>
      <c r="D29" s="6" t="s">
        <v>8</v>
      </c>
    </row>
    <row r="30" customFormat="false" ht="23.85" hidden="false" customHeight="false" outlineLevel="0" collapsed="false">
      <c r="A30" s="2" t="n">
        <v>29</v>
      </c>
      <c r="B30" s="3" t="s">
        <v>40</v>
      </c>
      <c r="C30" s="4" t="s">
        <v>34</v>
      </c>
      <c r="D30" s="6" t="s">
        <v>8</v>
      </c>
    </row>
    <row r="31" customFormat="false" ht="15" hidden="false" customHeight="false" outlineLevel="0" collapsed="false">
      <c r="A31" s="2" t="n">
        <v>30</v>
      </c>
      <c r="B31" s="3" t="s">
        <v>41</v>
      </c>
      <c r="C31" s="4" t="s">
        <v>34</v>
      </c>
      <c r="D31" s="6" t="s">
        <v>8</v>
      </c>
    </row>
    <row r="32" customFormat="false" ht="15" hidden="false" customHeight="false" outlineLevel="0" collapsed="false">
      <c r="A32" s="2" t="n">
        <v>31</v>
      </c>
      <c r="B32" s="3" t="s">
        <v>42</v>
      </c>
      <c r="C32" s="4" t="s">
        <v>34</v>
      </c>
      <c r="D32" s="6" t="s">
        <v>8</v>
      </c>
    </row>
    <row r="33" customFormat="false" ht="15" hidden="false" customHeight="false" outlineLevel="0" collapsed="false">
      <c r="A33" s="2" t="n">
        <v>32</v>
      </c>
      <c r="B33" s="3" t="s">
        <v>43</v>
      </c>
      <c r="C33" s="4" t="s">
        <v>34</v>
      </c>
      <c r="D33" s="6" t="s">
        <v>8</v>
      </c>
    </row>
    <row r="34" customFormat="false" ht="23.85" hidden="false" customHeight="false" outlineLevel="0" collapsed="false">
      <c r="A34" s="2" t="n">
        <v>33</v>
      </c>
      <c r="B34" s="3" t="s">
        <v>44</v>
      </c>
      <c r="C34" s="4" t="s">
        <v>34</v>
      </c>
      <c r="D34" s="6" t="s">
        <v>8</v>
      </c>
    </row>
    <row r="35" customFormat="false" ht="23.85" hidden="false" customHeight="false" outlineLevel="0" collapsed="false">
      <c r="A35" s="2" t="n">
        <v>34</v>
      </c>
      <c r="B35" s="3" t="s">
        <v>45</v>
      </c>
      <c r="C35" s="4" t="s">
        <v>34</v>
      </c>
      <c r="D35" s="6" t="s">
        <v>8</v>
      </c>
    </row>
    <row r="36" customFormat="false" ht="23.85" hidden="false" customHeight="false" outlineLevel="0" collapsed="false">
      <c r="A36" s="2" t="n">
        <v>35</v>
      </c>
      <c r="B36" s="3" t="s">
        <v>46</v>
      </c>
      <c r="C36" s="4" t="s">
        <v>34</v>
      </c>
      <c r="D36" s="6" t="s">
        <v>8</v>
      </c>
    </row>
    <row r="37" customFormat="false" ht="15" hidden="false" customHeight="false" outlineLevel="0" collapsed="false">
      <c r="A37" s="2" t="n">
        <v>36</v>
      </c>
      <c r="B37" s="3" t="s">
        <v>47</v>
      </c>
      <c r="C37" s="4" t="s">
        <v>48</v>
      </c>
      <c r="D37" s="6" t="s">
        <v>8</v>
      </c>
    </row>
    <row r="38" customFormat="false" ht="15" hidden="false" customHeight="false" outlineLevel="0" collapsed="false">
      <c r="A38" s="2" t="n">
        <v>37</v>
      </c>
      <c r="B38" s="3" t="s">
        <v>49</v>
      </c>
      <c r="C38" s="4" t="s">
        <v>48</v>
      </c>
      <c r="D38" s="6" t="s">
        <v>8</v>
      </c>
    </row>
    <row r="39" customFormat="false" ht="15" hidden="false" customHeight="false" outlineLevel="0" collapsed="false">
      <c r="A39" s="2" t="n">
        <v>38</v>
      </c>
      <c r="B39" s="3" t="s">
        <v>50</v>
      </c>
      <c r="C39" s="4" t="s">
        <v>48</v>
      </c>
      <c r="D39" s="5" t="s">
        <v>6</v>
      </c>
    </row>
    <row r="40" customFormat="false" ht="15" hidden="false" customHeight="false" outlineLevel="0" collapsed="false">
      <c r="A40" s="2" t="n">
        <v>39</v>
      </c>
      <c r="B40" s="3" t="s">
        <v>51</v>
      </c>
      <c r="C40" s="4" t="s">
        <v>52</v>
      </c>
      <c r="D40" s="5" t="s">
        <v>6</v>
      </c>
    </row>
    <row r="41" customFormat="false" ht="15" hidden="false" customHeight="false" outlineLevel="0" collapsed="false">
      <c r="A41" s="2" t="n">
        <v>40</v>
      </c>
      <c r="B41" s="3" t="s">
        <v>53</v>
      </c>
      <c r="C41" s="4" t="s">
        <v>52</v>
      </c>
      <c r="D41" s="5" t="s">
        <v>6</v>
      </c>
    </row>
  </sheetData>
  <autoFilter ref="A1:D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8" t="s">
        <v>3</v>
      </c>
      <c r="B1" s="8" t="s">
        <v>54</v>
      </c>
    </row>
    <row r="2" customFormat="false" ht="15" hidden="false" customHeight="false" outlineLevel="0" collapsed="false">
      <c r="A2" s="9" t="s">
        <v>8</v>
      </c>
      <c r="B2" s="10" t="n">
        <f aca="false">COUNTIF('Document List'!D:D,"Natural Ester")</f>
        <v>21</v>
      </c>
    </row>
    <row r="3" customFormat="false" ht="15" hidden="false" customHeight="false" outlineLevel="0" collapsed="false">
      <c r="A3" s="11" t="s">
        <v>10</v>
      </c>
      <c r="B3" s="10" t="n">
        <f aca="false">COUNTIF('Document List'!D:D,"Synthetic Ester")</f>
        <v>11</v>
      </c>
    </row>
    <row r="4" customFormat="false" ht="15" hidden="false" customHeight="false" outlineLevel="0" collapsed="false">
      <c r="A4" s="12" t="s">
        <v>6</v>
      </c>
      <c r="B4" s="10" t="n">
        <f aca="false">COUNTIF('Document List'!D:D,"General")</f>
        <v>8</v>
      </c>
    </row>
    <row r="5" customFormat="false" ht="15" hidden="false" customHeight="false" outlineLevel="0" collapsed="false">
      <c r="A5" s="13" t="s">
        <v>55</v>
      </c>
      <c r="B5" s="14" t="n">
        <f aca="false">SUM(B2:B4)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2026-06-25T07:23:55Z</dcterms:created>
  <dc:creator>openpyxl</dc:creator>
  <dc:description/>
  <dc:language>en-US</dc:language>
  <cp:lastModifiedBy/>
  <dcterms:modified xsi:type="dcterms:W3CDTF">2026-06-25T07:23:55Z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